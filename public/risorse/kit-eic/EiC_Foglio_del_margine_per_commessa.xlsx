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gimi" sheetId="1" state="visible" r:id="rId3"/>
    <sheet name="Costo orario" sheetId="2" state="visible" r:id="rId4"/>
    <sheet name="Margine per commess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<sst xmlns="http://schemas.openxmlformats.org/spreadsheetml/2006/main" count="71" uniqueCount="71">
  <si>
    <t xml:space="preserve">EdiliziaInCloud — Il foglio del margine per commessa</t>
  </si>
  <si>
    <t xml:space="preserve">Dal preventivo al SAL, tutto in un posto.</t>
  </si>
  <si>
    <t xml:space="preserve">A cosa serve</t>
  </si>
  <si>
    <t xml:space="preserve">A sapere quanto ti ha lasciato davvero un cantiere: prezzo di vendita meno materiali, manodopera al costo orario vero, subappalti e spese di cantiere. In euro e in percentuale. Un cantiere per riga.</t>
  </si>
  <si>
    <t xml:space="preserve">Come si usa, in 20 minuti</t>
  </si>
  <si>
    <t xml:space="preserve">1. Apri il foglio «Costo orario». Metti il costo annuo di una persona tutto compreso (te lo dà il consulente del lavoro in una riga) e le ore che le mancano davvero. Esce il costo orario vero. Quasi sempre sta intorno ai 34 €, non ai 25 che si mettono a preventivo.</t>
  </si>
  <si>
    <t xml:space="preserve">2. Apri il foglio «Margine per commessa». Prendi un cantiere chiuso e compila le celle gialle: importo, varianti fatturate, materiali, ore della squadra, subappalti, noleggi e spese. Il resto lo calcola il foglio.</t>
  </si>
  <si>
    <t xml:space="preserve">3. Leggi le 3 colonne di destra: margine in euro, margine in percentuale, margine per giornata di squadra. Il semaforo dice dove guardare: sopra il 25% è sano, tra il 20 e il 25 c'è da guardare, sotto il 20 si guarda subito.</t>
  </si>
  <si>
    <t xml:space="preserve">4. Fallo su 5 cantieri chiusi, diversi tra loro. Alla 5ª riga l'ordine che esce quasi mai è quello che avevi in testa.</t>
  </si>
  <si>
    <t xml:space="preserve">Le celle</t>
  </si>
  <si>
    <t xml:space="preserve">Gialle con testo blu: le compili tu. Bianche: sono formule, e non si toccano. Se una cella bianca mostra un trattino, manca un dato a sinistra.</t>
  </si>
  <si>
    <t xml:space="preserve">Il limite, detto prima</t>
  </si>
  <si>
    <t xml:space="preserve">Questo foglio funziona finché lo aggiorni tu. Sul cantiere chiuso è perfetto: 20 minuti e hai il numero. Sul cantiere aperto, al terzo mese sarà indietro come qualunque altro foglio, perché le ore e i costi li deve mettere qualcuno il giorno stesso, e quel qualcuno sei tu la domenica sera. Il foglio non è la causa e non è la soluzione: la domanda vera è chi mette dentro i dati.</t>
  </si>
  <si>
    <t xml:space="preserve">Se il numero che esce è diverso da quello che avevi in testa, quando ci sentiamo partiamo da lì.</t>
  </si>
  <si>
    <t xml:space="preserve">Flo — EdiliziaInCloud</t>
  </si>
  <si>
    <t xml:space="preserve">Il costo orario vero di una persona in cantiere</t>
  </si>
  <si>
    <t xml:space="preserve">Compila le celle gialle. Prendi una persona sola, l'anno scorso.</t>
  </si>
  <si>
    <t xml:space="preserve">Voce</t>
  </si>
  <si>
    <t xml:space="preserve">Valore</t>
  </si>
  <si>
    <t xml:space="preserve">Da dove lo prendi</t>
  </si>
  <si>
    <t xml:space="preserve">Costo annuo tutto compreso (lordo, contributi, Cassa Edile, TFR, ferie e 13ª, DPI, viaggio)</t>
  </si>
  <si>
    <t xml:space="preserve">Il consulente del lavoro te lo dà in una riga. Non il netto in busta: il costo per te.</t>
  </si>
  <si>
    <t xml:space="preserve">Ore da contratto in un anno</t>
  </si>
  <si>
    <t xml:space="preserve">40 ore a settimana per 43 settimane lavorabili, senza ferie. Cambialo se il tuo contratto è diverso.</t>
  </si>
  <si>
    <t xml:space="preserve">Meno: ferie e permessi retribuiti (ROL, ex festività)</t>
  </si>
  <si>
    <t xml:space="preserve">Ore pagate in cui la persona non è in cantiere.</t>
  </si>
  <si>
    <t xml:space="preserve">Meno: malattia e infortunio, media</t>
  </si>
  <si>
    <t xml:space="preserve">Il dato dell'anno scorso per quella persona, o la media della squadra.</t>
  </si>
  <si>
    <t xml:space="preserve">Meno: maltempo e cantiere fermo</t>
  </si>
  <si>
    <t xml:space="preserve">Giornate pagate con la squadra a casa o in magazzino.</t>
  </si>
  <si>
    <t xml:space="preserve">Meno: viaggi tra cantieri, attese di altri mestieri, mezze giornate</t>
  </si>
  <si>
    <t xml:space="preserve">Il pezzo che nessuno conta. Stima bassa: 2 ore a settimana.</t>
  </si>
  <si>
    <t xml:space="preserve">Meno: formazione, visite mediche, altro</t>
  </si>
  <si>
    <t xml:space="preserve">Corsi sicurezza, visite, giornate in ufficio.</t>
  </si>
  <si>
    <t xml:space="preserve">Ore davvero passate in cantiere</t>
  </si>
  <si>
    <t xml:space="preserve">Ore da contratto meno tutto quello che manca.</t>
  </si>
  <si>
    <t xml:space="preserve">COSTO ORARIO VERO</t>
  </si>
  <si>
    <t xml:space="preserve">È il numero che va in ogni preventivo e nel foglio «Margine per commessa».</t>
  </si>
  <si>
    <t xml:space="preserve">Quello che metti a preventivo oggi, per un'ora di operaio</t>
  </si>
  <si>
    <t xml:space="preserve">Il numero che gira da 20 anni.</t>
  </si>
  <si>
    <t xml:space="preserve">Differenza per ogni ora lavorata</t>
  </si>
  <si>
    <t xml:space="preserve">Ore che la squadra ha fatto il mese scorso, in tutto</t>
  </si>
  <si>
    <t xml:space="preserve">4 persone per 160 ore sono 640.</t>
  </si>
  <si>
    <t xml:space="preserve">Margine messo a preventivo e mai arrivato, il mese scorso</t>
  </si>
  <si>
    <t xml:space="preserve">Non se ne va in cantiere: se ne va il giorno del preventivo.</t>
  </si>
  <si>
    <t xml:space="preserve">Nessun programma abbassa il costo orario di un operaio: lo decidono il contratto e la Cassa Edile. Quello che cambia è che il costo giusto lo imposti una volta sola.</t>
  </si>
  <si>
    <t xml:space="preserve">Margine per commessa — un cantiere per riga</t>
  </si>
  <si>
    <t xml:space="preserve">Celle gialle: le compili tu, a cantiere chiuso. Il costo orario arriva dal foglio «Costo orario». Sano: sopra il 25%. Da guardare: 20-25%. Subito: sotto il 20%.</t>
  </si>
  <si>
    <t xml:space="preserve">Cantiere</t>
  </si>
  <si>
    <t xml:space="preserve">Importo contratto €</t>
  </si>
  <si>
    <t xml:space="preserve">Varianti fatturate €</t>
  </si>
  <si>
    <t xml:space="preserve">Ricavo totale €</t>
  </si>
  <si>
    <t xml:space="preserve">Materiali €</t>
  </si>
  <si>
    <t xml:space="preserve">Ore squadra</t>
  </si>
  <si>
    <t xml:space="preserve">Costo orario €/h</t>
  </si>
  <si>
    <t xml:space="preserve">Manodopera €</t>
  </si>
  <si>
    <t xml:space="preserve">Subappalti €</t>
  </si>
  <si>
    <t xml:space="preserve">Noleggi e spese di cantiere €</t>
  </si>
  <si>
    <t xml:space="preserve">Costi totali €</t>
  </si>
  <si>
    <t xml:space="preserve">Margine €</t>
  </si>
  <si>
    <t xml:space="preserve">Margine %</t>
  </si>
  <si>
    <t xml:space="preserve">Giornate squadra</t>
  </si>
  <si>
    <t xml:space="preserve">Margine per giornata €</t>
  </si>
  <si>
    <t xml:space="preserve">Semaforo</t>
  </si>
  <si>
    <t xml:space="preserve">ESEMPIO — Via Roma 12, rifacimento tetto</t>
  </si>
  <si>
    <t xml:space="preserve">TOTALE</t>
  </si>
  <si>
    <t xml:space="preserve">Come leggere le 3 colonne di destra.</t>
  </si>
  <si>
    <t xml:space="preserve">Margine €: quello che resta dopo tutti i costi diretti. Non ci sono i costi di struttura (capannone, mezzi, ufficio, il tuo stipendio): quelli stanno sopra tutti i cantieri.</t>
  </si>
  <si>
    <t xml:space="preserve">Margine %: sano tra il 25% e il 35%. Sotto il 20% c'è una cosa da guardare subito, e quasi sempre è una di queste 3: le ore, il materiale a corpo messo senza quantità, le varianti fatte gratis.</t>
  </si>
  <si>
    <t xml:space="preserve">Margine per giornata: il numero che nessuno guarda. Il cantiere grosso di cui vai fiero margina spesso meno, per giornata, di 2 lavori piccoli fatti negli stessi mesi. Quando metti i cantieri in fila per questa colonna, l'ordine quasi mai è quello che avevi in testa.</t>
  </si>
  <si>
    <t xml:space="preserve">Foglio di lavoro consegnato da EdiliziaInCloud. I numeri di riferimento sono intervalli di settore: i tuoi valgono di più.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</si>
</sst>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&quot; €&quot;"/>
    <numFmt numFmtId="166" formatCode="#,##0&quot; h&quot;"/>
    <numFmt numFmtId="167" formatCode="#,##0.00&quot; €/h&quot;"/>
    <numFmt numFmtId="168" formatCode="#,##0.00&quot; €/h&quot;;[RED]\-#,##0.00&quot; €/h&quot;"/>
    <numFmt numFmtId="169" formatCode="#,##0&quot; €&quot;;[RED]\-#,##0&quot; €&quot;"/>
    <numFmt numFmtId="170" formatCode="#,##0;[RED]\-#,##0;\-"/>
    <numFmt numFmtId="171" formatCode="#,##0;\-"/>
    <numFmt numFmtId="172" formatCode="#,##0.00"/>
    <numFmt numFmtId="173" formatCode="0.0%;[RED]\-0.0%;\-"/>
    <numFmt numFmtId="174" formatCode="#,##0.0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E3A5F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sz val="11"/>
      <name val="Calibri"/>
      <family val="0"/>
      <charset val="1"/>
    </font>
    <font>
      <b val="true"/>
      <sz val="13"/>
      <color rgb="FFF97316"/>
      <name val="Cambria"/>
      <family val="0"/>
      <charset val="1"/>
    </font>
    <font>
      <b val="true"/>
      <sz val="11"/>
      <color rgb="FF1E3A5F"/>
      <name val="Cambria"/>
      <family val="0"/>
      <charset val="1"/>
    </font>
    <font>
      <b val="true"/>
      <sz val="15"/>
      <color rgb="FF1E3A5F"/>
      <name val="Cambria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FF"/>
      <name val="Calibri"/>
      <family val="0"/>
      <charset val="1"/>
    </font>
    <font>
      <sz val="10"/>
      <color rgb="FF6B7280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0"/>
      <color rgb="FF6B7280"/>
      <name val="Cambria"/>
      <family val="0"/>
      <charset val="1"/>
    </font>
    <font>
      <i val="true"/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0"/>
      <color rgb="FF374151"/>
      <name val="Cambria"/>
      <family val="0"/>
      <charset val="1"/>
    </font>
    <font>
      <sz val="10"/>
      <color rgb="FF37415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374151"/>
      </patternFill>
    </fill>
    <fill>
      <patternFill patternType="solid">
        <fgColor rgb="FFFFF7E6"/>
        <bgColor rgb="FFF3F4F6"/>
      </patternFill>
    </fill>
    <fill>
      <patternFill patternType="solid">
        <fgColor rgb="FFF3F4F6"/>
        <bgColor rgb="FFFFF7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166534"/>
      </font>
      <fill>
        <patternFill>
          <bgColor rgb="FFDCFCE7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991B1B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008000"/>
      <rgbColor rgb="FF000080"/>
      <rgbColor rgb="FF808000"/>
      <rgbColor rgb="FF800080"/>
      <rgbColor rgb="FF166534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7E6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97316"/>
      <rgbColor rgb="FF6B7280"/>
      <rgbColor rgb="FF969696"/>
      <rgbColor rgb="FF1E3A5F"/>
      <rgbColor rgb="FF339966"/>
      <rgbColor rgb="FF003300"/>
      <rgbColor rgb="FF333300"/>
      <rgbColor rgb="FF92400E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2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6.15" hidden="false" customHeight="false" outlineLevel="0" collapsed="false">
      <c r="A4" s="4" t="s">
        <v>2</v>
      </c>
    </row>
    <row r="5" customFormat="false" ht="28.3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6.15" hidden="false" customHeight="false" outlineLevel="0" collapsed="false">
      <c r="A7" s="4" t="s">
        <v>4</v>
      </c>
    </row>
    <row r="8" customFormat="false" ht="28.35" hidden="false" customHeight="false" outlineLevel="0" collapsed="false">
      <c r="A8" s="3" t="s">
        <v>5</v>
      </c>
    </row>
    <row r="9" customFormat="false" ht="28.35" hidden="false" customHeight="false" outlineLevel="0" collapsed="false">
      <c r="A9" s="3" t="s">
        <v>6</v>
      </c>
    </row>
    <row r="10" customFormat="false" ht="28.3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/>
    </row>
    <row r="13" customFormat="false" ht="16.15" hidden="false" customHeight="false" outlineLevel="0" collapsed="false">
      <c r="A13" s="4" t="s">
        <v>9</v>
      </c>
    </row>
    <row r="14" customFormat="false" ht="28.3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3"/>
    </row>
    <row r="16" customFormat="false" ht="16.15" hidden="false" customHeight="false" outlineLevel="0" collapsed="false">
      <c r="A16" s="4" t="s">
        <v>11</v>
      </c>
    </row>
    <row r="17" customFormat="false" ht="41.75" hidden="false" customHeight="false" outlineLevel="0" collapsed="false">
      <c r="A17" s="3" t="s">
        <v>12</v>
      </c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5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18.55" hidden="false" customHeight="false" outlineLevel="0" collapsed="false">
      <c r="A1" s="6" t="s">
        <v>15</v>
      </c>
    </row>
    <row r="2" customFormat="false" ht="15" hidden="false" customHeight="false" outlineLevel="0" collapsed="false">
      <c r="A2" s="7" t="s">
        <v>16</v>
      </c>
    </row>
    <row r="4" customFormat="false" ht="15" hidden="false" customHeight="false" outlineLevel="0" collapsed="false">
      <c r="A4" s="8" t="s">
        <v>17</v>
      </c>
      <c r="B4" s="8" t="s">
        <v>18</v>
      </c>
      <c r="C4" s="8" t="s">
        <v>19</v>
      </c>
    </row>
    <row r="5" customFormat="false" ht="31.5" hidden="false" customHeight="true" outlineLevel="0" collapsed="false">
      <c r="A5" s="9" t="s">
        <v>20</v>
      </c>
      <c r="B5" s="10" t="n">
        <v>46000</v>
      </c>
      <c r="C5" s="11" t="s">
        <v>21</v>
      </c>
    </row>
    <row r="6" customFormat="false" ht="31.5" hidden="false" customHeight="true" outlineLevel="0" collapsed="false">
      <c r="A6" s="9" t="s">
        <v>22</v>
      </c>
      <c r="B6" s="12" t="n">
        <v>1720</v>
      </c>
      <c r="C6" s="11" t="s">
        <v>23</v>
      </c>
    </row>
    <row r="7" customFormat="false" ht="31.5" hidden="false" customHeight="true" outlineLevel="0" collapsed="false">
      <c r="A7" s="9" t="s">
        <v>24</v>
      </c>
      <c r="B7" s="12" t="n">
        <v>200</v>
      </c>
      <c r="C7" s="11" t="s">
        <v>25</v>
      </c>
    </row>
    <row r="8" customFormat="false" ht="31.5" hidden="false" customHeight="true" outlineLevel="0" collapsed="false">
      <c r="A8" s="9" t="s">
        <v>26</v>
      </c>
      <c r="B8" s="12" t="n">
        <v>40</v>
      </c>
      <c r="C8" s="11" t="s">
        <v>27</v>
      </c>
    </row>
    <row r="9" customFormat="false" ht="31.5" hidden="false" customHeight="true" outlineLevel="0" collapsed="false">
      <c r="A9" s="9" t="s">
        <v>28</v>
      </c>
      <c r="B9" s="12" t="n">
        <v>40</v>
      </c>
      <c r="C9" s="11" t="s">
        <v>29</v>
      </c>
    </row>
    <row r="10" customFormat="false" ht="31.5" hidden="false" customHeight="true" outlineLevel="0" collapsed="false">
      <c r="A10" s="9" t="s">
        <v>30</v>
      </c>
      <c r="B10" s="12" t="n">
        <v>70</v>
      </c>
      <c r="C10" s="11" t="s">
        <v>31</v>
      </c>
    </row>
    <row r="11" customFormat="false" ht="31.5" hidden="false" customHeight="true" outlineLevel="0" collapsed="false">
      <c r="A11" s="9" t="s">
        <v>32</v>
      </c>
      <c r="B11" s="12" t="n">
        <v>20</v>
      </c>
      <c r="C11" s="11" t="s">
        <v>33</v>
      </c>
    </row>
    <row r="13" customFormat="false" ht="15" hidden="false" customHeight="false" outlineLevel="0" collapsed="false">
      <c r="A13" s="13" t="s">
        <v>34</v>
      </c>
      <c r="B13" s="14" t="n">
        <f aca="false">B6-SUM(B7:B11)</f>
        <v>1350</v>
      </c>
      <c r="C13" s="15" t="s">
        <v>35</v>
      </c>
    </row>
    <row r="14" customFormat="false" ht="16.15" hidden="false" customHeight="false" outlineLevel="0" collapsed="false">
      <c r="A14" s="16" t="s">
        <v>36</v>
      </c>
      <c r="B14" s="17" t="n">
        <f aca="false">IF(B13&gt;0,B5/B13,0)</f>
        <v>34.0740740740741</v>
      </c>
      <c r="C14" s="15" t="s">
        <v>37</v>
      </c>
    </row>
    <row r="16" customFormat="false" ht="15" hidden="false" customHeight="false" outlineLevel="0" collapsed="false">
      <c r="A16" s="0" t="s">
        <v>38</v>
      </c>
      <c r="B16" s="18" t="n">
        <v>25</v>
      </c>
      <c r="C16" s="15" t="s">
        <v>39</v>
      </c>
    </row>
    <row r="17" customFormat="false" ht="15" hidden="false" customHeight="false" outlineLevel="0" collapsed="false">
      <c r="A17" s="0" t="s">
        <v>40</v>
      </c>
      <c r="B17" s="19" t="n">
        <f aca="false">B14-B16</f>
        <v>9.07407407407408</v>
      </c>
    </row>
    <row r="18" customFormat="false" ht="15" hidden="false" customHeight="false" outlineLevel="0" collapsed="false">
      <c r="A18" s="0" t="s">
        <v>41</v>
      </c>
      <c r="B18" s="12" t="n">
        <v>640</v>
      </c>
      <c r="C18" s="15" t="s">
        <v>42</v>
      </c>
    </row>
    <row r="19" customFormat="false" ht="15" hidden="false" customHeight="false" outlineLevel="0" collapsed="false">
      <c r="A19" s="20" t="s">
        <v>43</v>
      </c>
      <c r="B19" s="21" t="n">
        <f aca="false">B17*B18</f>
        <v>5807.40740740741</v>
      </c>
      <c r="C19" s="15" t="s">
        <v>44</v>
      </c>
    </row>
    <row r="21" customFormat="false" ht="31.5" hidden="false" customHeight="true" outlineLevel="0" collapsed="false">
      <c r="A21" s="22" t="s">
        <v>45</v>
      </c>
      <c r="B21" s="22"/>
      <c r="C21" s="22"/>
    </row>
  </sheetData>
  <mergeCells count="1"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4" min="3" style="0" width="15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7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12"/>
    <col collapsed="false" customWidth="true" hidden="false" outlineLevel="0" max="15" min="15" style="0" width="15"/>
    <col collapsed="false" customWidth="true" hidden="false" outlineLevel="0" max="16" min="16" style="0" width="14"/>
  </cols>
  <sheetData>
    <row r="1" customFormat="false" ht="18.55" hidden="false" customHeight="false" outlineLevel="0" collapsed="false">
      <c r="A1" s="6" t="s">
        <v>46</v>
      </c>
    </row>
    <row r="2" customFormat="false" ht="15" hidden="false" customHeight="false" outlineLevel="0" collapsed="false">
      <c r="A2" s="7" t="s">
        <v>47</v>
      </c>
    </row>
    <row r="3" customFormat="false" ht="42" hidden="false" customHeight="true" outlineLevel="0" collapsed="false">
      <c r="A3" s="8" t="s">
        <v>48</v>
      </c>
      <c r="B3" s="8" t="s">
        <v>49</v>
      </c>
      <c r="C3" s="8" t="s">
        <v>50</v>
      </c>
      <c r="D3" s="8" t="s">
        <v>51</v>
      </c>
      <c r="E3" s="8" t="s">
        <v>52</v>
      </c>
      <c r="F3" s="8" t="s">
        <v>53</v>
      </c>
      <c r="G3" s="8" t="s">
        <v>54</v>
      </c>
      <c r="H3" s="8" t="s">
        <v>55</v>
      </c>
      <c r="I3" s="8" t="s">
        <v>56</v>
      </c>
      <c r="J3" s="8" t="s">
        <v>57</v>
      </c>
      <c r="K3" s="8" t="s">
        <v>58</v>
      </c>
      <c r="L3" s="8" t="s">
        <v>59</v>
      </c>
      <c r="M3" s="8" t="s">
        <v>60</v>
      </c>
      <c r="N3" s="8" t="s">
        <v>61</v>
      </c>
      <c r="O3" s="8" t="s">
        <v>62</v>
      </c>
      <c r="P3" s="8" t="s">
        <v>63</v>
      </c>
    </row>
    <row r="4" customFormat="false" ht="15" hidden="false" customHeight="false" outlineLevel="0" collapsed="false">
      <c r="A4" s="23" t="s">
        <v>64</v>
      </c>
      <c r="B4" s="24" t="n">
        <v>80000</v>
      </c>
      <c r="C4" s="24" t="n">
        <v>3200</v>
      </c>
      <c r="D4" s="25" t="n">
        <f aca="false">IF(A4="","",B4+C4)</f>
        <v>83200</v>
      </c>
      <c r="E4" s="24" t="n">
        <v>28000</v>
      </c>
      <c r="F4" s="26" t="n">
        <v>620</v>
      </c>
      <c r="G4" s="27" t="n">
        <f aca="false">IF(A4="","",'Costo orario'!$B$14)</f>
        <v>34.0740740740741</v>
      </c>
      <c r="H4" s="25" t="n">
        <f aca="false">IF(A4="","",F4*G4)</f>
        <v>21125.9259259259</v>
      </c>
      <c r="I4" s="24" t="n">
        <v>12000</v>
      </c>
      <c r="J4" s="24" t="n">
        <v>3500</v>
      </c>
      <c r="K4" s="25" t="n">
        <f aca="false">IF(A4="","",E4+H4+I4+J4)</f>
        <v>64625.9259259259</v>
      </c>
      <c r="L4" s="25" t="n">
        <f aca="false">IF(A4="","",D4-K4)</f>
        <v>18574.0740740741</v>
      </c>
      <c r="M4" s="28" t="n">
        <f aca="false">IF(OR(A4="",D4=0),"",L4/D4)</f>
        <v>0.223246082621083</v>
      </c>
      <c r="N4" s="29" t="n">
        <f aca="false">IF(A4="","",F4/8)</f>
        <v>77.5</v>
      </c>
      <c r="O4" s="25" t="n">
        <f aca="false">IF(OR(A4="",N4=0),"",L4/N4)</f>
        <v>239.665471923536</v>
      </c>
      <c r="P4" s="30" t="str">
        <f aca="false">IF(M4="","",IF(M4&gt;=0.25,"Sano",IF(M4&gt;=0.2,"Da guardare","Subito")))</f>
        <v>Da guardare</v>
      </c>
    </row>
    <row r="5" customFormat="false" ht="15" hidden="false" customHeight="false" outlineLevel="0" collapsed="false">
      <c r="A5" s="31"/>
      <c r="B5" s="24"/>
      <c r="C5" s="24"/>
      <c r="D5" s="25" t="str">
        <f aca="false">IF(A5="","",B5+C5)</f>
        <v/>
      </c>
      <c r="E5" s="24"/>
      <c r="F5" s="26"/>
      <c r="G5" s="27" t="str">
        <f aca="false">IF(A5="","",'Costo orario'!$B$14)</f>
        <v/>
      </c>
      <c r="H5" s="25" t="str">
        <f aca="false">IF(A5="","",F5*G5)</f>
        <v/>
      </c>
      <c r="I5" s="24"/>
      <c r="J5" s="24"/>
      <c r="K5" s="25" t="str">
        <f aca="false">IF(A5="","",E5+H5+I5+J5)</f>
        <v/>
      </c>
      <c r="L5" s="25" t="str">
        <f aca="false">IF(A5="","",D5-K5)</f>
        <v/>
      </c>
      <c r="M5" s="28" t="str">
        <f aca="false">IF(OR(A5="",D5=0),"",L5/D5)</f>
        <v/>
      </c>
      <c r="N5" s="29" t="str">
        <f aca="false">IF(A5="","",F5/8)</f>
        <v/>
      </c>
      <c r="O5" s="25" t="str">
        <f aca="false">IF(OR(A5="",N5=0),"",L5/N5)</f>
        <v/>
      </c>
      <c r="P5" s="30" t="str">
        <f aca="false">IF(M5="","",IF(M5&gt;=0.25,"Sano",IF(M5&gt;=0.2,"Da guardare","Subito")))</f>
        <v/>
      </c>
    </row>
    <row r="6" customFormat="false" ht="15" hidden="false" customHeight="false" outlineLevel="0" collapsed="false">
      <c r="A6" s="31"/>
      <c r="B6" s="24"/>
      <c r="C6" s="24"/>
      <c r="D6" s="25" t="str">
        <f aca="false">IF(A6="","",B6+C6)</f>
        <v/>
      </c>
      <c r="E6" s="24"/>
      <c r="F6" s="26"/>
      <c r="G6" s="27" t="str">
        <f aca="false">IF(A6="","",'Costo orario'!$B$14)</f>
        <v/>
      </c>
      <c r="H6" s="25" t="str">
        <f aca="false">IF(A6="","",F6*G6)</f>
        <v/>
      </c>
      <c r="I6" s="24"/>
      <c r="J6" s="24"/>
      <c r="K6" s="25" t="str">
        <f aca="false">IF(A6="","",E6+H6+I6+J6)</f>
        <v/>
      </c>
      <c r="L6" s="25" t="str">
        <f aca="false">IF(A6="","",D6-K6)</f>
        <v/>
      </c>
      <c r="M6" s="28" t="str">
        <f aca="false">IF(OR(A6="",D6=0),"",L6/D6)</f>
        <v/>
      </c>
      <c r="N6" s="29" t="str">
        <f aca="false">IF(A6="","",F6/8)</f>
        <v/>
      </c>
      <c r="O6" s="25" t="str">
        <f aca="false">IF(OR(A6="",N6=0),"",L6/N6)</f>
        <v/>
      </c>
      <c r="P6" s="30" t="str">
        <f aca="false">IF(M6="","",IF(M6&gt;=0.25,"Sano",IF(M6&gt;=0.2,"Da guardare","Subito")))</f>
        <v/>
      </c>
    </row>
    <row r="7" customFormat="false" ht="15" hidden="false" customHeight="false" outlineLevel="0" collapsed="false">
      <c r="A7" s="31"/>
      <c r="B7" s="24"/>
      <c r="C7" s="24"/>
      <c r="D7" s="25" t="str">
        <f aca="false">IF(A7="","",B7+C7)</f>
        <v/>
      </c>
      <c r="E7" s="24"/>
      <c r="F7" s="26"/>
      <c r="G7" s="27" t="str">
        <f aca="false">IF(A7="","",'Costo orario'!$B$14)</f>
        <v/>
      </c>
      <c r="H7" s="25" t="str">
        <f aca="false">IF(A7="","",F7*G7)</f>
        <v/>
      </c>
      <c r="I7" s="24"/>
      <c r="J7" s="24"/>
      <c r="K7" s="25" t="str">
        <f aca="false">IF(A7="","",E7+H7+I7+J7)</f>
        <v/>
      </c>
      <c r="L7" s="25" t="str">
        <f aca="false">IF(A7="","",D7-K7)</f>
        <v/>
      </c>
      <c r="M7" s="28" t="str">
        <f aca="false">IF(OR(A7="",D7=0),"",L7/D7)</f>
        <v/>
      </c>
      <c r="N7" s="29" t="str">
        <f aca="false">IF(A7="","",F7/8)</f>
        <v/>
      </c>
      <c r="O7" s="25" t="str">
        <f aca="false">IF(OR(A7="",N7=0),"",L7/N7)</f>
        <v/>
      </c>
      <c r="P7" s="30" t="str">
        <f aca="false">IF(M7="","",IF(M7&gt;=0.25,"Sano",IF(M7&gt;=0.2,"Da guardare","Subito")))</f>
        <v/>
      </c>
    </row>
    <row r="8" customFormat="false" ht="15" hidden="false" customHeight="false" outlineLevel="0" collapsed="false">
      <c r="A8" s="31"/>
      <c r="B8" s="24"/>
      <c r="C8" s="24"/>
      <c r="D8" s="25" t="str">
        <f aca="false">IF(A8="","",B8+C8)</f>
        <v/>
      </c>
      <c r="E8" s="24"/>
      <c r="F8" s="26"/>
      <c r="G8" s="27" t="str">
        <f aca="false">IF(A8="","",'Costo orario'!$B$14)</f>
        <v/>
      </c>
      <c r="H8" s="25" t="str">
        <f aca="false">IF(A8="","",F8*G8)</f>
        <v/>
      </c>
      <c r="I8" s="24"/>
      <c r="J8" s="24"/>
      <c r="K8" s="25" t="str">
        <f aca="false">IF(A8="","",E8+H8+I8+J8)</f>
        <v/>
      </c>
      <c r="L8" s="25" t="str">
        <f aca="false">IF(A8="","",D8-K8)</f>
        <v/>
      </c>
      <c r="M8" s="28" t="str">
        <f aca="false">IF(OR(A8="",D8=0),"",L8/D8)</f>
        <v/>
      </c>
      <c r="N8" s="29" t="str">
        <f aca="false">IF(A8="","",F8/8)</f>
        <v/>
      </c>
      <c r="O8" s="25" t="str">
        <f aca="false">IF(OR(A8="",N8=0),"",L8/N8)</f>
        <v/>
      </c>
      <c r="P8" s="30" t="str">
        <f aca="false">IF(M8="","",IF(M8&gt;=0.25,"Sano",IF(M8&gt;=0.2,"Da guardare","Subito")))</f>
        <v/>
      </c>
    </row>
    <row r="9" customFormat="false" ht="15" hidden="false" customHeight="false" outlineLevel="0" collapsed="false">
      <c r="A9" s="31"/>
      <c r="B9" s="24"/>
      <c r="C9" s="24"/>
      <c r="D9" s="25" t="str">
        <f aca="false">IF(A9="","",B9+C9)</f>
        <v/>
      </c>
      <c r="E9" s="24"/>
      <c r="F9" s="26"/>
      <c r="G9" s="27" t="str">
        <f aca="false">IF(A9="","",'Costo orario'!$B$14)</f>
        <v/>
      </c>
      <c r="H9" s="25" t="str">
        <f aca="false">IF(A9="","",F9*G9)</f>
        <v/>
      </c>
      <c r="I9" s="24"/>
      <c r="J9" s="24"/>
      <c r="K9" s="25" t="str">
        <f aca="false">IF(A9="","",E9+H9+I9+J9)</f>
        <v/>
      </c>
      <c r="L9" s="25" t="str">
        <f aca="false">IF(A9="","",D9-K9)</f>
        <v/>
      </c>
      <c r="M9" s="28" t="str">
        <f aca="false">IF(OR(A9="",D9=0),"",L9/D9)</f>
        <v/>
      </c>
      <c r="N9" s="29" t="str">
        <f aca="false">IF(A9="","",F9/8)</f>
        <v/>
      </c>
      <c r="O9" s="25" t="str">
        <f aca="false">IF(OR(A9="",N9=0),"",L9/N9)</f>
        <v/>
      </c>
      <c r="P9" s="30" t="str">
        <f aca="false">IF(M9="","",IF(M9&gt;=0.25,"Sano",IF(M9&gt;=0.2,"Da guardare","Subito")))</f>
        <v/>
      </c>
    </row>
    <row r="10" customFormat="false" ht="15" hidden="false" customHeight="false" outlineLevel="0" collapsed="false">
      <c r="A10" s="31"/>
      <c r="B10" s="24"/>
      <c r="C10" s="24"/>
      <c r="D10" s="25" t="str">
        <f aca="false">IF(A10="","",B10+C10)</f>
        <v/>
      </c>
      <c r="E10" s="24"/>
      <c r="F10" s="26"/>
      <c r="G10" s="27" t="str">
        <f aca="false">IF(A10="","",'Costo orario'!$B$14)</f>
        <v/>
      </c>
      <c r="H10" s="25" t="str">
        <f aca="false">IF(A10="","",F10*G10)</f>
        <v/>
      </c>
      <c r="I10" s="24"/>
      <c r="J10" s="24"/>
      <c r="K10" s="25" t="str">
        <f aca="false">IF(A10="","",E10+H10+I10+J10)</f>
        <v/>
      </c>
      <c r="L10" s="25" t="str">
        <f aca="false">IF(A10="","",D10-K10)</f>
        <v/>
      </c>
      <c r="M10" s="28" t="str">
        <f aca="false">IF(OR(A10="",D10=0),"",L10/D10)</f>
        <v/>
      </c>
      <c r="N10" s="29" t="str">
        <f aca="false">IF(A10="","",F10/8)</f>
        <v/>
      </c>
      <c r="O10" s="25" t="str">
        <f aca="false">IF(OR(A10="",N10=0),"",L10/N10)</f>
        <v/>
      </c>
      <c r="P10" s="30" t="str">
        <f aca="false">IF(M10="","",IF(M10&gt;=0.25,"Sano",IF(M10&gt;=0.2,"Da guardare","Subito")))</f>
        <v/>
      </c>
    </row>
    <row r="11" customFormat="false" ht="15" hidden="false" customHeight="false" outlineLevel="0" collapsed="false">
      <c r="A11" s="31"/>
      <c r="B11" s="24"/>
      <c r="C11" s="24"/>
      <c r="D11" s="25" t="str">
        <f aca="false">IF(A11="","",B11+C11)</f>
        <v/>
      </c>
      <c r="E11" s="24"/>
      <c r="F11" s="26"/>
      <c r="G11" s="27" t="str">
        <f aca="false">IF(A11="","",'Costo orario'!$B$14)</f>
        <v/>
      </c>
      <c r="H11" s="25" t="str">
        <f aca="false">IF(A11="","",F11*G11)</f>
        <v/>
      </c>
      <c r="I11" s="24"/>
      <c r="J11" s="24"/>
      <c r="K11" s="25" t="str">
        <f aca="false">IF(A11="","",E11+H11+I11+J11)</f>
        <v/>
      </c>
      <c r="L11" s="25" t="str">
        <f aca="false">IF(A11="","",D11-K11)</f>
        <v/>
      </c>
      <c r="M11" s="28" t="str">
        <f aca="false">IF(OR(A11="",D11=0),"",L11/D11)</f>
        <v/>
      </c>
      <c r="N11" s="29" t="str">
        <f aca="false">IF(A11="","",F11/8)</f>
        <v/>
      </c>
      <c r="O11" s="25" t="str">
        <f aca="false">IF(OR(A11="",N11=0),"",L11/N11)</f>
        <v/>
      </c>
      <c r="P11" s="30" t="str">
        <f aca="false">IF(M11="","",IF(M11&gt;=0.25,"Sano",IF(M11&gt;=0.2,"Da guardare","Subito")))</f>
        <v/>
      </c>
    </row>
    <row r="12" customFormat="false" ht="15" hidden="false" customHeight="false" outlineLevel="0" collapsed="false">
      <c r="A12" s="31"/>
      <c r="B12" s="24"/>
      <c r="C12" s="24"/>
      <c r="D12" s="25" t="str">
        <f aca="false">IF(A12="","",B12+C12)</f>
        <v/>
      </c>
      <c r="E12" s="24"/>
      <c r="F12" s="26"/>
      <c r="G12" s="27" t="str">
        <f aca="false">IF(A12="","",'Costo orario'!$B$14)</f>
        <v/>
      </c>
      <c r="H12" s="25" t="str">
        <f aca="false">IF(A12="","",F12*G12)</f>
        <v/>
      </c>
      <c r="I12" s="24"/>
      <c r="J12" s="24"/>
      <c r="K12" s="25" t="str">
        <f aca="false">IF(A12="","",E12+H12+I12+J12)</f>
        <v/>
      </c>
      <c r="L12" s="25" t="str">
        <f aca="false">IF(A12="","",D12-K12)</f>
        <v/>
      </c>
      <c r="M12" s="28" t="str">
        <f aca="false">IF(OR(A12="",D12=0),"",L12/D12)</f>
        <v/>
      </c>
      <c r="N12" s="29" t="str">
        <f aca="false">IF(A12="","",F12/8)</f>
        <v/>
      </c>
      <c r="O12" s="25" t="str">
        <f aca="false">IF(OR(A12="",N12=0),"",L12/N12)</f>
        <v/>
      </c>
      <c r="P12" s="30" t="str">
        <f aca="false">IF(M12="","",IF(M12&gt;=0.25,"Sano",IF(M12&gt;=0.2,"Da guardare","Subito")))</f>
        <v/>
      </c>
    </row>
    <row r="13" customFormat="false" ht="15" hidden="false" customHeight="false" outlineLevel="0" collapsed="false">
      <c r="A13" s="31"/>
      <c r="B13" s="24"/>
      <c r="C13" s="24"/>
      <c r="D13" s="25" t="str">
        <f aca="false">IF(A13="","",B13+C13)</f>
        <v/>
      </c>
      <c r="E13" s="24"/>
      <c r="F13" s="26"/>
      <c r="G13" s="27" t="str">
        <f aca="false">IF(A13="","",'Costo orario'!$B$14)</f>
        <v/>
      </c>
      <c r="H13" s="25" t="str">
        <f aca="false">IF(A13="","",F13*G13)</f>
        <v/>
      </c>
      <c r="I13" s="24"/>
      <c r="J13" s="24"/>
      <c r="K13" s="25" t="str">
        <f aca="false">IF(A13="","",E13+H13+I13+J13)</f>
        <v/>
      </c>
      <c r="L13" s="25" t="str">
        <f aca="false">IF(A13="","",D13-K13)</f>
        <v/>
      </c>
      <c r="M13" s="28" t="str">
        <f aca="false">IF(OR(A13="",D13=0),"",L13/D13)</f>
        <v/>
      </c>
      <c r="N13" s="29" t="str">
        <f aca="false">IF(A13="","",F13/8)</f>
        <v/>
      </c>
      <c r="O13" s="25" t="str">
        <f aca="false">IF(OR(A13="",N13=0),"",L13/N13)</f>
        <v/>
      </c>
      <c r="P13" s="30" t="str">
        <f aca="false">IF(M13="","",IF(M13&gt;=0.25,"Sano",IF(M13&gt;=0.2,"Da guardare","Subito")))</f>
        <v/>
      </c>
    </row>
    <row r="14" customFormat="false" ht="15" hidden="false" customHeight="false" outlineLevel="0" collapsed="false">
      <c r="A14" s="31"/>
      <c r="B14" s="24"/>
      <c r="C14" s="24"/>
      <c r="D14" s="25" t="str">
        <f aca="false">IF(A14="","",B14+C14)</f>
        <v/>
      </c>
      <c r="E14" s="24"/>
      <c r="F14" s="26"/>
      <c r="G14" s="27" t="str">
        <f aca="false">IF(A14="","",'Costo orario'!$B$14)</f>
        <v/>
      </c>
      <c r="H14" s="25" t="str">
        <f aca="false">IF(A14="","",F14*G14)</f>
        <v/>
      </c>
      <c r="I14" s="24"/>
      <c r="J14" s="24"/>
      <c r="K14" s="25" t="str">
        <f aca="false">IF(A14="","",E14+H14+I14+J14)</f>
        <v/>
      </c>
      <c r="L14" s="25" t="str">
        <f aca="false">IF(A14="","",D14-K14)</f>
        <v/>
      </c>
      <c r="M14" s="28" t="str">
        <f aca="false">IF(OR(A14="",D14=0),"",L14/D14)</f>
        <v/>
      </c>
      <c r="N14" s="29" t="str">
        <f aca="false">IF(A14="","",F14/8)</f>
        <v/>
      </c>
      <c r="O14" s="25" t="str">
        <f aca="false">IF(OR(A14="",N14=0),"",L14/N14)</f>
        <v/>
      </c>
      <c r="P14" s="30" t="str">
        <f aca="false">IF(M14="","",IF(M14&gt;=0.25,"Sano",IF(M14&gt;=0.2,"Da guardare","Subito")))</f>
        <v/>
      </c>
    </row>
    <row r="15" customFormat="false" ht="15" hidden="false" customHeight="false" outlineLevel="0" collapsed="false">
      <c r="A15" s="31"/>
      <c r="B15" s="24"/>
      <c r="C15" s="24"/>
      <c r="D15" s="25" t="str">
        <f aca="false">IF(A15="","",B15+C15)</f>
        <v/>
      </c>
      <c r="E15" s="24"/>
      <c r="F15" s="26"/>
      <c r="G15" s="27" t="str">
        <f aca="false">IF(A15="","",'Costo orario'!$B$14)</f>
        <v/>
      </c>
      <c r="H15" s="25" t="str">
        <f aca="false">IF(A15="","",F15*G15)</f>
        <v/>
      </c>
      <c r="I15" s="24"/>
      <c r="J15" s="24"/>
      <c r="K15" s="25" t="str">
        <f aca="false">IF(A15="","",E15+H15+I15+J15)</f>
        <v/>
      </c>
      <c r="L15" s="25" t="str">
        <f aca="false">IF(A15="","",D15-K15)</f>
        <v/>
      </c>
      <c r="M15" s="28" t="str">
        <f aca="false">IF(OR(A15="",D15=0),"",L15/D15)</f>
        <v/>
      </c>
      <c r="N15" s="29" t="str">
        <f aca="false">IF(A15="","",F15/8)</f>
        <v/>
      </c>
      <c r="O15" s="25" t="str">
        <f aca="false">IF(OR(A15="",N15=0),"",L15/N15)</f>
        <v/>
      </c>
      <c r="P15" s="30" t="str">
        <f aca="false">IF(M15="","",IF(M15&gt;=0.25,"Sano",IF(M15&gt;=0.2,"Da guardare","Subito")))</f>
        <v/>
      </c>
    </row>
    <row r="16" customFormat="false" ht="15" hidden="false" customHeight="false" outlineLevel="0" collapsed="false">
      <c r="A16" s="31"/>
      <c r="B16" s="24"/>
      <c r="C16" s="24"/>
      <c r="D16" s="25" t="str">
        <f aca="false">IF(A16="","",B16+C16)</f>
        <v/>
      </c>
      <c r="E16" s="24"/>
      <c r="F16" s="26"/>
      <c r="G16" s="27" t="str">
        <f aca="false">IF(A16="","",'Costo orario'!$B$14)</f>
        <v/>
      </c>
      <c r="H16" s="25" t="str">
        <f aca="false">IF(A16="","",F16*G16)</f>
        <v/>
      </c>
      <c r="I16" s="24"/>
      <c r="J16" s="24"/>
      <c r="K16" s="25" t="str">
        <f aca="false">IF(A16="","",E16+H16+I16+J16)</f>
        <v/>
      </c>
      <c r="L16" s="25" t="str">
        <f aca="false">IF(A16="","",D16-K16)</f>
        <v/>
      </c>
      <c r="M16" s="28" t="str">
        <f aca="false">IF(OR(A16="",D16=0),"",L16/D16)</f>
        <v/>
      </c>
      <c r="N16" s="29" t="str">
        <f aca="false">IF(A16="","",F16/8)</f>
        <v/>
      </c>
      <c r="O16" s="25" t="str">
        <f aca="false">IF(OR(A16="",N16=0),"",L16/N16)</f>
        <v/>
      </c>
      <c r="P16" s="30" t="str">
        <f aca="false">IF(M16="","",IF(M16&gt;=0.25,"Sano",IF(M16&gt;=0.2,"Da guardare","Subito")))</f>
        <v/>
      </c>
    </row>
    <row r="17" customFormat="false" ht="15" hidden="false" customHeight="false" outlineLevel="0" collapsed="false">
      <c r="A17" s="31"/>
      <c r="B17" s="24"/>
      <c r="C17" s="24"/>
      <c r="D17" s="25" t="str">
        <f aca="false">IF(A17="","",B17+C17)</f>
        <v/>
      </c>
      <c r="E17" s="24"/>
      <c r="F17" s="26"/>
      <c r="G17" s="27" t="str">
        <f aca="false">IF(A17="","",'Costo orario'!$B$14)</f>
        <v/>
      </c>
      <c r="H17" s="25" t="str">
        <f aca="false">IF(A17="","",F17*G17)</f>
        <v/>
      </c>
      <c r="I17" s="24"/>
      <c r="J17" s="24"/>
      <c r="K17" s="25" t="str">
        <f aca="false">IF(A17="","",E17+H17+I17+J17)</f>
        <v/>
      </c>
      <c r="L17" s="25" t="str">
        <f aca="false">IF(A17="","",D17-K17)</f>
        <v/>
      </c>
      <c r="M17" s="28" t="str">
        <f aca="false">IF(OR(A17="",D17=0),"",L17/D17)</f>
        <v/>
      </c>
      <c r="N17" s="29" t="str">
        <f aca="false">IF(A17="","",F17/8)</f>
        <v/>
      </c>
      <c r="O17" s="25" t="str">
        <f aca="false">IF(OR(A17="",N17=0),"",L17/N17)</f>
        <v/>
      </c>
      <c r="P17" s="30" t="str">
        <f aca="false">IF(M17="","",IF(M17&gt;=0.25,"Sano",IF(M17&gt;=0.2,"Da guardare","Subito")))</f>
        <v/>
      </c>
    </row>
    <row r="18" customFormat="false" ht="15" hidden="false" customHeight="false" outlineLevel="0" collapsed="false">
      <c r="A18" s="31"/>
      <c r="B18" s="24"/>
      <c r="C18" s="24"/>
      <c r="D18" s="25" t="str">
        <f aca="false">IF(A18="","",B18+C18)</f>
        <v/>
      </c>
      <c r="E18" s="24"/>
      <c r="F18" s="26"/>
      <c r="G18" s="27" t="str">
        <f aca="false">IF(A18="","",'Costo orario'!$B$14)</f>
        <v/>
      </c>
      <c r="H18" s="25" t="str">
        <f aca="false">IF(A18="","",F18*G18)</f>
        <v/>
      </c>
      <c r="I18" s="24"/>
      <c r="J18" s="24"/>
      <c r="K18" s="25" t="str">
        <f aca="false">IF(A18="","",E18+H18+I18+J18)</f>
        <v/>
      </c>
      <c r="L18" s="25" t="str">
        <f aca="false">IF(A18="","",D18-K18)</f>
        <v/>
      </c>
      <c r="M18" s="28" t="str">
        <f aca="false">IF(OR(A18="",D18=0),"",L18/D18)</f>
        <v/>
      </c>
      <c r="N18" s="29" t="str">
        <f aca="false">IF(A18="","",F18/8)</f>
        <v/>
      </c>
      <c r="O18" s="25" t="str">
        <f aca="false">IF(OR(A18="",N18=0),"",L18/N18)</f>
        <v/>
      </c>
      <c r="P18" s="30" t="str">
        <f aca="false">IF(M18="","",IF(M18&gt;=0.25,"Sano",IF(M18&gt;=0.2,"Da guardare","Subito")))</f>
        <v/>
      </c>
    </row>
    <row r="19" customFormat="false" ht="15" hidden="false" customHeight="false" outlineLevel="0" collapsed="false">
      <c r="A19" s="32" t="s">
        <v>65</v>
      </c>
      <c r="B19" s="33" t="n">
        <f aca="false">SUM(B4:B18)</f>
        <v>80000</v>
      </c>
      <c r="C19" s="33" t="n">
        <f aca="false">SUM(C4:C18)</f>
        <v>3200</v>
      </c>
      <c r="D19" s="33" t="n">
        <f aca="false">SUM(D4:D18)</f>
        <v>83200</v>
      </c>
      <c r="E19" s="33" t="n">
        <f aca="false">SUM(E4:E18)</f>
        <v>28000</v>
      </c>
      <c r="F19" s="33" t="n">
        <f aca="false">SUM(F4:F18)</f>
        <v>620</v>
      </c>
      <c r="G19" s="34"/>
      <c r="H19" s="33" t="n">
        <f aca="false">SUM(H4:H18)</f>
        <v>21125.9259259259</v>
      </c>
      <c r="I19" s="33" t="n">
        <f aca="false">SUM(I4:I18)</f>
        <v>12000</v>
      </c>
      <c r="J19" s="33" t="n">
        <f aca="false">SUM(J4:J18)</f>
        <v>3500</v>
      </c>
      <c r="K19" s="33" t="n">
        <f aca="false">SUM(K4:K18)</f>
        <v>64625.9259259259</v>
      </c>
      <c r="L19" s="33" t="n">
        <f aca="false">SUM(L4:L18)</f>
        <v>18574.0740740741</v>
      </c>
      <c r="M19" s="35" t="n">
        <f aca="false">IF(D19=0,"",L19/D19)</f>
        <v>0.223246082621083</v>
      </c>
      <c r="N19" s="36" t="n">
        <f aca="false">SUM(N4:N18)</f>
        <v>77.5</v>
      </c>
      <c r="O19" s="33" t="n">
        <f aca="false">IF(N19=0,"",L19/N19)</f>
        <v>239.665471923536</v>
      </c>
      <c r="P19" s="34"/>
    </row>
    <row r="21" customFormat="false" ht="15.75" hidden="false" customHeight="true" outlineLevel="0" collapsed="false">
      <c r="A21" s="37" t="s">
        <v>66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</row>
    <row r="22" customFormat="false" ht="30" hidden="false" customHeight="true" outlineLevel="0" collapsed="false">
      <c r="A22" s="38" t="s">
        <v>67</v>
      </c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</row>
    <row r="23" customFormat="false" ht="30" hidden="false" customHeight="true" outlineLevel="0" collapsed="false">
      <c r="A23" s="38" t="s">
        <v>68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customFormat="false" ht="30" hidden="false" customHeight="true" outlineLevel="0" collapsed="false">
      <c r="A24" s="38" t="s">
        <v>69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</row>
    <row r="25" customFormat="false" ht="30" hidden="false" customHeight="true" outlineLevel="0" collapsed="false">
      <c r="A25" s="39" t="s">
        <v>70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</sheetData>
  <mergeCells count="5">
    <mergeCell ref="A21:L21"/>
    <mergeCell ref="A22:L22"/>
    <mergeCell ref="A23:L23"/>
    <mergeCell ref="A24:L24"/>
    <mergeCell ref="A25:L25"/>
  </mergeCells>
  <conditionalFormatting sqref="P4:P18">
    <cfRule type="cellIs" priority="2" operator="equal" aboveAverage="0" equalAverage="0" bottom="0" percent="0" rank="0" text="" dxfId="0">
      <formula>"Sano"</formula>
    </cfRule>
    <cfRule type="cellIs" priority="3" operator="equal" aboveAverage="0" equalAverage="0" bottom="0" percent="0" rank="0" text="" dxfId="1">
      <formula>"Da guardare"</formula>
    </cfRule>
    <cfRule type="cellIs" priority="4" operator="equal" aboveAverage="0" equalAverage="0" bottom="0" percent="0" rank="0" text="" dxfId="2">
      <formula>"Subito"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2026-09-19T09:40:25Z</dcterms:created>
  <dc:creator>openpyxl</dc:creator>
  <dc:description/>
  <dc:language>en-US</dc:language>
  <cp:lastModifiedBy/>
  <dcterms:modified xsi:type="dcterms:W3CDTF">2026-09-19T09:40:25Z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